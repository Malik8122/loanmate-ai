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anya\Conversational-Voice-Agent\docs\"/>
    </mc:Choice>
  </mc:AlternateContent>
  <xr:revisionPtr revIDLastSave="0" documentId="13_ncr:1_{4CC68938-BBA4-46B6-B94A-EFECC2D4FDF3}" xr6:coauthVersionLast="47" xr6:coauthVersionMax="47" xr10:uidLastSave="{00000000-0000-0000-0000-000000000000}"/>
  <bookViews>
    <workbookView xWindow="1360" yWindow="3850" windowWidth="7500" windowHeight="6230" xr2:uid="{00000000-000D-0000-FFFF-FFFF00000000}"/>
  </bookViews>
  <sheets>
    <sheet name="Summary" sheetId="1" r:id="rId1"/>
    <sheet name="Customers" sheetId="2" r:id="rId2"/>
    <sheet name="Loans" sheetId="3" r:id="rId3"/>
    <sheet name="Loan Applications" sheetId="4" r:id="rId4"/>
  </sheets>
  <definedNames>
    <definedName name="_xlnm._FilterDatabase" localSheetId="1" hidden="1">Customers!$A$1:$G$6</definedName>
    <definedName name="_xlnm._FilterDatabase" localSheetId="3" hidden="1">'Loan Applications'!$A$1:$I$13</definedName>
    <definedName name="_xlnm._FilterDatabase" localSheetId="2" hidden="1">Loans!$A$1:$L$9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4" l="1"/>
  <c r="C12" i="4"/>
  <c r="C11" i="4"/>
  <c r="C10" i="4"/>
  <c r="C9" i="4"/>
  <c r="C8" i="4"/>
  <c r="C7" i="4"/>
  <c r="C6" i="4"/>
  <c r="C5" i="4"/>
  <c r="C4" i="4"/>
  <c r="C3" i="4"/>
  <c r="C2" i="4"/>
  <c r="C9" i="3"/>
  <c r="C8" i="3"/>
  <c r="C7" i="3"/>
  <c r="C6" i="3"/>
  <c r="C5" i="3"/>
  <c r="C4" i="3"/>
  <c r="C3" i="3"/>
  <c r="C2" i="3"/>
  <c r="I9" i="1"/>
  <c r="H9" i="1"/>
  <c r="C9" i="1"/>
  <c r="B9" i="1"/>
  <c r="A9" i="1"/>
  <c r="G9" i="1" s="1"/>
  <c r="C8" i="1"/>
  <c r="B8" i="1"/>
  <c r="A8" i="1"/>
  <c r="C7" i="1"/>
  <c r="B7" i="1"/>
  <c r="A7" i="1"/>
  <c r="C6" i="1"/>
  <c r="B6" i="1"/>
  <c r="A6" i="1"/>
  <c r="C5" i="1"/>
  <c r="B5" i="1"/>
  <c r="A5" i="1"/>
  <c r="G5" i="1" s="1"/>
  <c r="F9" i="1" l="1"/>
  <c r="E9" i="1"/>
  <c r="D9" i="1"/>
  <c r="I8" i="1"/>
  <c r="H8" i="1"/>
  <c r="G8" i="1"/>
  <c r="F8" i="1"/>
  <c r="E8" i="1"/>
  <c r="D8" i="1"/>
  <c r="I7" i="1"/>
  <c r="H7" i="1"/>
  <c r="G7" i="1"/>
  <c r="F7" i="1"/>
  <c r="E7" i="1"/>
  <c r="D7" i="1"/>
  <c r="I6" i="1"/>
  <c r="H6" i="1"/>
  <c r="G6" i="1"/>
  <c r="F6" i="1"/>
  <c r="E6" i="1"/>
  <c r="D6" i="1"/>
  <c r="H5" i="1"/>
  <c r="I5" i="1"/>
  <c r="F5" i="1"/>
  <c r="E5" i="1"/>
  <c r="D5" i="1"/>
  <c r="G10" i="1" l="1"/>
  <c r="H10" i="1"/>
  <c r="E10" i="1"/>
  <c r="I10" i="1"/>
  <c r="F10" i="1"/>
  <c r="D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Export</author>
  </authors>
  <commentList>
    <comment ref="F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Stored in mock_data.json as a percent (e.g. 8.5); shown here as 8.50%.</t>
        </r>
      </text>
    </comment>
  </commentList>
</comments>
</file>

<file path=xl/sharedStrings.xml><?xml version="1.0" encoding="utf-8"?>
<sst xmlns="http://schemas.openxmlformats.org/spreadsheetml/2006/main" count="169" uniqueCount="94">
  <si>
    <t>LoanMate AI — demo customer data</t>
  </si>
  <si>
    <t>Source: backend/data/mock_data.json (fictional demo data). Exported 20-Oct-2026. Totals use ACTIVE loans only.</t>
  </si>
  <si>
    <t>Customer ID</t>
  </si>
  <si>
    <t>Name</t>
  </si>
  <si>
    <t>KYC verified</t>
  </si>
  <si>
    <t>Active loans</t>
  </si>
  <si>
    <t>Overdue loans</t>
  </si>
  <si>
    <t>Monthly EMI, active (₹)</t>
  </si>
  <si>
    <t>Outstanding, active (₹)</t>
  </si>
  <si>
    <t>Overdue outstanding (₹)</t>
  </si>
  <si>
    <t>Applications</t>
  </si>
  <si>
    <t>Total</t>
  </si>
  <si>
    <t>Active = loan_status "Active". Closed loans (e.g. Mohammed Irfan's gold loan) are excluded from EMI and outstanding totals; overdue loans are shown in their own columns.</t>
  </si>
  <si>
    <t>Phone</t>
  </si>
  <si>
    <t>Email</t>
  </si>
  <si>
    <t>Preferred language</t>
  </si>
  <si>
    <t>City</t>
  </si>
  <si>
    <t>CUST001</t>
  </si>
  <si>
    <t>Rajesh Kumar</t>
  </si>
  <si>
    <t>+91-9876543210</t>
  </si>
  <si>
    <t>rajesh.kumar@email.com</t>
  </si>
  <si>
    <t>Hindi</t>
  </si>
  <si>
    <t>Mumbai</t>
  </si>
  <si>
    <t>Yes</t>
  </si>
  <si>
    <t>CUST002</t>
  </si>
  <si>
    <t>Sanya Malik</t>
  </si>
  <si>
    <t>+91-9123456789</t>
  </si>
  <si>
    <t>sanya.malik@email.com</t>
  </si>
  <si>
    <t>English</t>
  </si>
  <si>
    <t>Bengaluru</t>
  </si>
  <si>
    <t>CUST003</t>
  </si>
  <si>
    <t>Maanasvee Khetan</t>
  </si>
  <si>
    <t>+91-9988776655</t>
  </si>
  <si>
    <t>maanasvee.khetan@email.com</t>
  </si>
  <si>
    <t>Ahmedabad</t>
  </si>
  <si>
    <t>CUST004</t>
  </si>
  <si>
    <t>Reya Oberoi</t>
  </si>
  <si>
    <t>+91-9012345678</t>
  </si>
  <si>
    <t>reya.oberoi@email.com</t>
  </si>
  <si>
    <t>Hyderabad</t>
  </si>
  <si>
    <t>No</t>
  </si>
  <si>
    <t>CUST005</t>
  </si>
  <si>
    <t>Mohammed Irfan</t>
  </si>
  <si>
    <t>+91-9345678901</t>
  </si>
  <si>
    <t>irfan.m@email.com</t>
  </si>
  <si>
    <t>Delhi</t>
  </si>
  <si>
    <t>Loan ID</t>
  </si>
  <si>
    <t>Customer name</t>
  </si>
  <si>
    <t>Loan type</t>
  </si>
  <si>
    <t>Loan amount (₹)</t>
  </si>
  <si>
    <t>Interest rate</t>
  </si>
  <si>
    <t>EMI (₹)</t>
  </si>
  <si>
    <t>Outstanding (₹)</t>
  </si>
  <si>
    <t>Next due date</t>
  </si>
  <si>
    <t>Remaining tenure (months)</t>
  </si>
  <si>
    <t>Status</t>
  </si>
  <si>
    <t>Disbursed on</t>
  </si>
  <si>
    <t>LN10001</t>
  </si>
  <si>
    <t>Home Loan</t>
  </si>
  <si>
    <t>Active</t>
  </si>
  <si>
    <t>LN10002</t>
  </si>
  <si>
    <t>Personal Loan</t>
  </si>
  <si>
    <t>LN10003</t>
  </si>
  <si>
    <t>Car Loan</t>
  </si>
  <si>
    <t>LN10004</t>
  </si>
  <si>
    <t>LN10005</t>
  </si>
  <si>
    <t>Education Loan</t>
  </si>
  <si>
    <t>LN10006</t>
  </si>
  <si>
    <t>LN10007</t>
  </si>
  <si>
    <t>Business Loan</t>
  </si>
  <si>
    <t>Overdue</t>
  </si>
  <si>
    <t>LN10008</t>
  </si>
  <si>
    <t>Gold Loan</t>
  </si>
  <si>
    <t>Closed</t>
  </si>
  <si>
    <t>Application ID</t>
  </si>
  <si>
    <t>Amount (₹)</t>
  </si>
  <si>
    <t>Tenure (months)</t>
  </si>
  <si>
    <t>Employment</t>
  </si>
  <si>
    <t>Submitted (UTC)</t>
  </si>
  <si>
    <t>APPDD8658</t>
  </si>
  <si>
    <t>Salaried</t>
  </si>
  <si>
    <t>Pending</t>
  </si>
  <si>
    <t>APP0AEE99</t>
  </si>
  <si>
    <t>APP931290</t>
  </si>
  <si>
    <t>APP92752B</t>
  </si>
  <si>
    <t>APPDE9F44</t>
  </si>
  <si>
    <t>APP9DC7C3</t>
  </si>
  <si>
    <t>APPE9D557</t>
  </si>
  <si>
    <t>APP2B6ADE</t>
  </si>
  <si>
    <t>APPE5D136</t>
  </si>
  <si>
    <t>APPF8AAD2</t>
  </si>
  <si>
    <t>APP245A9D</t>
  </si>
  <si>
    <t>APPDBA724</t>
  </si>
  <si>
    <t>Note: most of these are sample applications created by the automated tests (tests/test_phase1.py), not real submissions.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</si>
</sst>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&gt;=10000000]&quot;₹&quot;##\,##\,##\,##0;[&gt;=100000]&quot;₹&quot;##\,##\,##0;&quot;₹&quot;##,##0"/>
    <numFmt numFmtId="166" formatCode="dd\-mmm\-yyyy"/>
    <numFmt numFmtId="168" formatCode="dd\-mmm\-yyyy\ hh:mm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i/>
      <sz val="9"/>
      <color rgb="FF5A5378"/>
      <name val="Arial"/>
    </font>
    <font>
      <b/>
      <sz val="14"/>
      <color rgb="FF25115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51150"/>
      </patternFill>
    </fill>
  </fills>
  <borders count="3">
    <border>
      <left/>
      <right/>
      <top/>
      <bottom/>
      <diagonal/>
    </border>
    <border>
      <left/>
      <right/>
      <top/>
      <bottom style="thin">
        <color rgb="FFDCD3F2"/>
      </bottom>
      <diagonal/>
    </border>
    <border>
      <left/>
      <right/>
      <top style="thin">
        <color rgb="FF25115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0" xfId="0" applyFont="1"/>
    <xf numFmtId="0" fontId="3" fillId="0" borderId="0" xfId="0" applyFont="1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164" fontId="2" fillId="0" borderId="1" xfId="0" applyNumberFormat="1" applyFont="1" applyBorder="1"/>
    <xf numFmtId="0" fontId="5" fillId="0" borderId="0" xfId="0" applyFont="1"/>
    <xf numFmtId="0" fontId="5" fillId="0" borderId="2" xfId="0" applyFont="1" applyBorder="1"/>
    <xf numFmtId="164" fontId="5" fillId="0" borderId="2" xfId="0" applyNumberFormat="1" applyFont="1" applyBorder="1"/>
    <xf numFmtId="10" fontId="2" fillId="0" borderId="1" xfId="0" applyNumberFormat="1" applyFont="1" applyBorder="1"/>
    <xf numFmtId="166" fontId="2" fillId="0" borderId="1" xfId="0" applyNumberFormat="1" applyFont="1" applyBorder="1"/>
    <xf numFmtId="1" fontId="2" fillId="0" borderId="1" xfId="0" applyNumberFormat="1" applyFont="1" applyBorder="1"/>
    <xf numFmtId="168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13" customWidth="1"/>
    <col min="2" max="2" width="20" customWidth="1"/>
    <col min="3" max="3" width="13" customWidth="1"/>
    <col min="4" max="4" width="12" customWidth="1"/>
    <col min="5" max="5" width="13" customWidth="1"/>
    <col min="6" max="6" width="19" customWidth="1"/>
    <col min="7" max="8" width="20" customWidth="1"/>
    <col min="9" max="9" width="13" customWidth="1"/>
  </cols>
  <sheetData>
    <row r="1" spans="1:9" ht="18" x14ac:dyDescent="0.4">
      <c r="A1" s="1" t="s">
        <v>0</v>
      </c>
    </row>
    <row r="2" spans="1:9" x14ac:dyDescent="0.35">
      <c r="A2" s="2" t="s">
        <v>1</v>
      </c>
    </row>
    <row r="4" spans="1:9" ht="30" customHeight="1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35">
      <c r="A5" s="4" t="str">
        <f>Customers!A2</f>
        <v>CUST001</v>
      </c>
      <c r="B5" s="4" t="str">
        <f>Customers!B2</f>
        <v>Rajesh Kumar</v>
      </c>
      <c r="C5" s="4" t="str">
        <f>Customers!G2</f>
        <v>Yes</v>
      </c>
      <c r="D5" s="4">
        <f>COUNTIFS(Loans!$B$2:$B$9,A5,Loans!$K$2:$K$9,"Active")</f>
        <v>2</v>
      </c>
      <c r="E5" s="4">
        <f>COUNTIFS(Loans!$B$2:$B$9,A5,Loans!$K$2:$K$9,"Overdue")</f>
        <v>0</v>
      </c>
      <c r="F5" s="5">
        <f>SUMIFS(Loans!$G$2:$G$9,Loans!$B$2:$B$9,A5,Loans!$K$2:$K$9,"Active")</f>
        <v>46000</v>
      </c>
      <c r="G5" s="5">
        <f>SUMIFS(Loans!$H$2:$H$9,Loans!$B$2:$B$9,A5,Loans!$K$2:$K$9,"Active")</f>
        <v>3190000</v>
      </c>
      <c r="H5" s="5">
        <f>SUMIFS(Loans!$H$2:$H$9,Loans!$B$2:$B$9,A5,Loans!$K$2:$K$9,"Overdue")</f>
        <v>0</v>
      </c>
      <c r="I5" s="4">
        <f>COUNTIFS('Loan Applications'!$B$2:$B$13,A5)</f>
        <v>5</v>
      </c>
    </row>
    <row r="6" spans="1:9" x14ac:dyDescent="0.35">
      <c r="A6" s="4" t="str">
        <f>Customers!A3</f>
        <v>CUST002</v>
      </c>
      <c r="B6" s="4" t="str">
        <f>Customers!B3</f>
        <v>Sanya Malik</v>
      </c>
      <c r="C6" s="4" t="str">
        <f>Customers!G3</f>
        <v>Yes</v>
      </c>
      <c r="D6" s="4">
        <f>COUNTIFS(Loans!$B$2:$B$9,A6,Loans!$K$2:$K$9,"Active")</f>
        <v>1</v>
      </c>
      <c r="E6" s="4">
        <f>COUNTIFS(Loans!$B$2:$B$9,A6,Loans!$K$2:$K$9,"Overdue")</f>
        <v>0</v>
      </c>
      <c r="F6" s="5">
        <f>SUMIFS(Loans!$G$2:$G$9,Loans!$B$2:$B$9,A6,Loans!$K$2:$K$9,"Active")</f>
        <v>17200</v>
      </c>
      <c r="G6" s="5">
        <f>SUMIFS(Loans!$H$2:$H$9,Loans!$B$2:$B$9,A6,Loans!$K$2:$K$9,"Active")</f>
        <v>580000</v>
      </c>
      <c r="H6" s="5">
        <f>SUMIFS(Loans!$H$2:$H$9,Loans!$B$2:$B$9,A6,Loans!$K$2:$K$9,"Overdue")</f>
        <v>0</v>
      </c>
      <c r="I6" s="4">
        <f>COUNTIFS('Loan Applications'!$B$2:$B$13,A6)</f>
        <v>7</v>
      </c>
    </row>
    <row r="7" spans="1:9" x14ac:dyDescent="0.35">
      <c r="A7" s="4" t="str">
        <f>Customers!A4</f>
        <v>CUST003</v>
      </c>
      <c r="B7" s="4" t="str">
        <f>Customers!B4</f>
        <v>Maanasvee Khetan</v>
      </c>
      <c r="C7" s="4" t="str">
        <f>Customers!G4</f>
        <v>Yes</v>
      </c>
      <c r="D7" s="4">
        <f>COUNTIFS(Loans!$B$2:$B$9,A7,Loans!$K$2:$K$9,"Active")</f>
        <v>2</v>
      </c>
      <c r="E7" s="4">
        <f>COUNTIFS(Loans!$B$2:$B$9,A7,Loans!$K$2:$K$9,"Overdue")</f>
        <v>0</v>
      </c>
      <c r="F7" s="5">
        <f>SUMIFS(Loans!$G$2:$G$9,Loans!$B$2:$B$9,A7,Loans!$K$2:$K$9,"Active")</f>
        <v>60500</v>
      </c>
      <c r="G7" s="5">
        <f>SUMIFS(Loans!$H$2:$H$9,Loans!$B$2:$B$9,A7,Loans!$K$2:$K$9,"Active")</f>
        <v>5050000</v>
      </c>
      <c r="H7" s="5">
        <f>SUMIFS(Loans!$H$2:$H$9,Loans!$B$2:$B$9,A7,Loans!$K$2:$K$9,"Overdue")</f>
        <v>0</v>
      </c>
      <c r="I7" s="4">
        <f>COUNTIFS('Loan Applications'!$B$2:$B$13,A7)</f>
        <v>0</v>
      </c>
    </row>
    <row r="8" spans="1:9" x14ac:dyDescent="0.35">
      <c r="A8" s="4" t="str">
        <f>Customers!A5</f>
        <v>CUST004</v>
      </c>
      <c r="B8" s="4" t="str">
        <f>Customers!B5</f>
        <v>Reya Oberoi</v>
      </c>
      <c r="C8" s="4" t="str">
        <f>Customers!G5</f>
        <v>No</v>
      </c>
      <c r="D8" s="4">
        <f>COUNTIFS(Loans!$B$2:$B$9,A8,Loans!$K$2:$K$9,"Active")</f>
        <v>1</v>
      </c>
      <c r="E8" s="4">
        <f>COUNTIFS(Loans!$B$2:$B$9,A8,Loans!$K$2:$K$9,"Overdue")</f>
        <v>0</v>
      </c>
      <c r="F8" s="5">
        <f>SUMIFS(Loans!$G$2:$G$9,Loans!$B$2:$B$9,A8,Loans!$K$2:$K$9,"Active")</f>
        <v>10500</v>
      </c>
      <c r="G8" s="5">
        <f>SUMIFS(Loans!$H$2:$H$9,Loans!$B$2:$B$9,A8,Loans!$K$2:$K$9,"Active")</f>
        <v>45000</v>
      </c>
      <c r="H8" s="5">
        <f>SUMIFS(Loans!$H$2:$H$9,Loans!$B$2:$B$9,A8,Loans!$K$2:$K$9,"Overdue")</f>
        <v>0</v>
      </c>
      <c r="I8" s="4">
        <f>COUNTIFS('Loan Applications'!$B$2:$B$13,A8)</f>
        <v>0</v>
      </c>
    </row>
    <row r="9" spans="1:9" x14ac:dyDescent="0.35">
      <c r="A9" s="4" t="str">
        <f>Customers!A6</f>
        <v>CUST005</v>
      </c>
      <c r="B9" s="4" t="str">
        <f>Customers!B6</f>
        <v>Mohammed Irfan</v>
      </c>
      <c r="C9" s="4" t="str">
        <f>Customers!G6</f>
        <v>Yes</v>
      </c>
      <c r="D9" s="4">
        <f>COUNTIFS(Loans!$B$2:$B$9,A9,Loans!$K$2:$K$9,"Active")</f>
        <v>0</v>
      </c>
      <c r="E9" s="4">
        <f>COUNTIFS(Loans!$B$2:$B$9,A9,Loans!$K$2:$K$9,"Overdue")</f>
        <v>1</v>
      </c>
      <c r="F9" s="5">
        <f>SUMIFS(Loans!$G$2:$G$9,Loans!$B$2:$B$9,A9,Loans!$K$2:$K$9,"Active")</f>
        <v>0</v>
      </c>
      <c r="G9" s="5">
        <f>SUMIFS(Loans!$H$2:$H$9,Loans!$B$2:$B$9,A9,Loans!$K$2:$K$9,"Active")</f>
        <v>0</v>
      </c>
      <c r="H9" s="5">
        <f>SUMIFS(Loans!$H$2:$H$9,Loans!$B$2:$B$9,A9,Loans!$K$2:$K$9,"Overdue")</f>
        <v>1750000</v>
      </c>
      <c r="I9" s="4">
        <f>COUNTIFS('Loan Applications'!$B$2:$B$13,A9)</f>
        <v>0</v>
      </c>
    </row>
    <row r="10" spans="1:9" x14ac:dyDescent="0.35">
      <c r="A10" s="6" t="s">
        <v>11</v>
      </c>
      <c r="D10" s="7">
        <f t="shared" ref="D10:I10" si="0">SUM(D5:D9)</f>
        <v>6</v>
      </c>
      <c r="E10" s="7">
        <f t="shared" si="0"/>
        <v>1</v>
      </c>
      <c r="F10" s="8">
        <f t="shared" si="0"/>
        <v>134200</v>
      </c>
      <c r="G10" s="8">
        <f t="shared" si="0"/>
        <v>8865000</v>
      </c>
      <c r="H10" s="8">
        <f t="shared" si="0"/>
        <v>1750000</v>
      </c>
      <c r="I10" s="7">
        <f t="shared" si="0"/>
        <v>12</v>
      </c>
    </row>
    <row r="12" spans="1:9" x14ac:dyDescent="0.35">
      <c r="A12" s="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20" customWidth="1"/>
    <col min="3" max="3" width="17" customWidth="1"/>
    <col min="4" max="4" width="26" customWidth="1"/>
    <col min="5" max="5" width="18" customWidth="1"/>
    <col min="6" max="6" width="14" customWidth="1"/>
    <col min="7" max="7" width="13" customWidth="1"/>
  </cols>
  <sheetData>
    <row r="1" spans="1:7" ht="30" customHeight="1" x14ac:dyDescent="0.35">
      <c r="A1" s="3" t="s">
        <v>2</v>
      </c>
      <c r="B1" s="3" t="s">
        <v>3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4</v>
      </c>
    </row>
    <row r="2" spans="1:7" x14ac:dyDescent="0.35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</row>
    <row r="3" spans="1:7" x14ac:dyDescent="0.35">
      <c r="A3" s="4" t="s">
        <v>24</v>
      </c>
      <c r="B3" s="4" t="s">
        <v>25</v>
      </c>
      <c r="C3" s="4" t="s">
        <v>26</v>
      </c>
      <c r="D3" s="4" t="s">
        <v>27</v>
      </c>
      <c r="E3" s="4" t="s">
        <v>28</v>
      </c>
      <c r="F3" s="4" t="s">
        <v>29</v>
      </c>
      <c r="G3" s="4" t="s">
        <v>23</v>
      </c>
    </row>
    <row r="4" spans="1:7" x14ac:dyDescent="0.35">
      <c r="A4" s="4" t="s">
        <v>30</v>
      </c>
      <c r="B4" s="4" t="s">
        <v>31</v>
      </c>
      <c r="C4" s="4" t="s">
        <v>32</v>
      </c>
      <c r="D4" s="4" t="s">
        <v>33</v>
      </c>
      <c r="E4" s="4" t="s">
        <v>21</v>
      </c>
      <c r="F4" s="4" t="s">
        <v>34</v>
      </c>
      <c r="G4" s="4" t="s">
        <v>23</v>
      </c>
    </row>
    <row r="5" spans="1:7" x14ac:dyDescent="0.35">
      <c r="A5" s="4" t="s">
        <v>35</v>
      </c>
      <c r="B5" s="4" t="s">
        <v>36</v>
      </c>
      <c r="C5" s="4" t="s">
        <v>37</v>
      </c>
      <c r="D5" s="4" t="s">
        <v>38</v>
      </c>
      <c r="E5" s="4" t="s">
        <v>28</v>
      </c>
      <c r="F5" s="4" t="s">
        <v>39</v>
      </c>
      <c r="G5" s="4" t="s">
        <v>40</v>
      </c>
    </row>
    <row r="6" spans="1:7" x14ac:dyDescent="0.35">
      <c r="A6" s="4" t="s">
        <v>41</v>
      </c>
      <c r="B6" s="4" t="s">
        <v>42</v>
      </c>
      <c r="C6" s="4" t="s">
        <v>43</v>
      </c>
      <c r="D6" s="4" t="s">
        <v>44</v>
      </c>
      <c r="E6" s="4" t="s">
        <v>21</v>
      </c>
      <c r="F6" s="4" t="s">
        <v>45</v>
      </c>
      <c r="G6" s="4" t="s">
        <v>23</v>
      </c>
    </row>
  </sheetData>
  <autoFilter ref="A1:G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1" customWidth="1"/>
    <col min="2" max="2" width="13" customWidth="1"/>
    <col min="3" max="3" width="20" customWidth="1"/>
    <col min="4" max="4" width="16" customWidth="1"/>
    <col min="5" max="5" width="17" customWidth="1"/>
    <col min="6" max="7" width="13" customWidth="1"/>
    <col min="8" max="8" width="17" customWidth="1"/>
    <col min="9" max="9" width="15" customWidth="1"/>
    <col min="10" max="10" width="16" customWidth="1"/>
    <col min="11" max="11" width="11" customWidth="1"/>
    <col min="12" max="12" width="15" customWidth="1"/>
  </cols>
  <sheetData>
    <row r="1" spans="1:12" ht="30" customHeight="1" x14ac:dyDescent="0.35">
      <c r="A1" s="3" t="s">
        <v>46</v>
      </c>
      <c r="B1" s="3" t="s">
        <v>2</v>
      </c>
      <c r="C1" s="3" t="s">
        <v>47</v>
      </c>
      <c r="D1" s="3" t="s">
        <v>48</v>
      </c>
      <c r="E1" s="3" t="s">
        <v>49</v>
      </c>
      <c r="F1" s="3" t="s">
        <v>50</v>
      </c>
      <c r="G1" s="3" t="s">
        <v>51</v>
      </c>
      <c r="H1" s="3" t="s">
        <v>52</v>
      </c>
      <c r="I1" s="3" t="s">
        <v>53</v>
      </c>
      <c r="J1" s="3" t="s">
        <v>54</v>
      </c>
      <c r="K1" s="3" t="s">
        <v>55</v>
      </c>
      <c r="L1" s="3" t="s">
        <v>56</v>
      </c>
    </row>
    <row r="2" spans="1:12" x14ac:dyDescent="0.35">
      <c r="A2" s="4" t="s">
        <v>57</v>
      </c>
      <c r="B2" s="4" t="s">
        <v>17</v>
      </c>
      <c r="C2" s="4" t="str">
        <f>IFERROR(INDEX(Customers!$B:$B,MATCH(B2,Customers!$A:$A,0)),"")</f>
        <v>Rajesh Kumar</v>
      </c>
      <c r="D2" s="4" t="s">
        <v>58</v>
      </c>
      <c r="E2" s="5">
        <v>3500000</v>
      </c>
      <c r="F2" s="9">
        <v>8.5000000000000006E-2</v>
      </c>
      <c r="G2" s="5">
        <v>31500</v>
      </c>
      <c r="H2" s="5">
        <v>2870000</v>
      </c>
      <c r="I2" s="10">
        <v>46270</v>
      </c>
      <c r="J2" s="11">
        <v>168</v>
      </c>
      <c r="K2" s="4" t="s">
        <v>59</v>
      </c>
      <c r="L2" s="10">
        <v>44635</v>
      </c>
    </row>
    <row r="3" spans="1:12" x14ac:dyDescent="0.35">
      <c r="A3" s="4" t="s">
        <v>60</v>
      </c>
      <c r="B3" s="4" t="s">
        <v>17</v>
      </c>
      <c r="C3" s="4" t="str">
        <f>IFERROR(INDEX(Customers!$B:$B,MATCH(B3,Customers!$A:$A,0)),"")</f>
        <v>Rajesh Kumar</v>
      </c>
      <c r="D3" s="4" t="s">
        <v>61</v>
      </c>
      <c r="E3" s="5">
        <v>500000</v>
      </c>
      <c r="F3" s="9">
        <v>0.12</v>
      </c>
      <c r="G3" s="5">
        <v>14500</v>
      </c>
      <c r="H3" s="5">
        <v>320000</v>
      </c>
      <c r="I3" s="10">
        <v>46270</v>
      </c>
      <c r="J3" s="11">
        <v>24</v>
      </c>
      <c r="K3" s="4" t="s">
        <v>59</v>
      </c>
      <c r="L3" s="10">
        <v>45545</v>
      </c>
    </row>
    <row r="4" spans="1:12" x14ac:dyDescent="0.35">
      <c r="A4" s="4" t="s">
        <v>62</v>
      </c>
      <c r="B4" s="4" t="s">
        <v>24</v>
      </c>
      <c r="C4" s="4" t="str">
        <f>IFERROR(INDEX(Customers!$B:$B,MATCH(B4,Customers!$A:$A,0)),"")</f>
        <v>Sanya Malik</v>
      </c>
      <c r="D4" s="4" t="s">
        <v>63</v>
      </c>
      <c r="E4" s="5">
        <v>800000</v>
      </c>
      <c r="F4" s="9">
        <v>9.5000000000000001E-2</v>
      </c>
      <c r="G4" s="5">
        <v>17200</v>
      </c>
      <c r="H4" s="5">
        <v>580000</v>
      </c>
      <c r="I4" s="10">
        <v>46275</v>
      </c>
      <c r="J4" s="11">
        <v>36</v>
      </c>
      <c r="K4" s="4" t="s">
        <v>59</v>
      </c>
      <c r="L4" s="10">
        <v>45371</v>
      </c>
    </row>
    <row r="5" spans="1:12" x14ac:dyDescent="0.35">
      <c r="A5" s="4" t="s">
        <v>64</v>
      </c>
      <c r="B5" s="4" t="s">
        <v>30</v>
      </c>
      <c r="C5" s="4" t="str">
        <f>IFERROR(INDEX(Customers!$B:$B,MATCH(B5,Customers!$A:$A,0)),"")</f>
        <v>Maanasvee Khetan</v>
      </c>
      <c r="D5" s="4" t="s">
        <v>58</v>
      </c>
      <c r="E5" s="5">
        <v>4500000</v>
      </c>
      <c r="F5" s="9">
        <v>8.7499999999999994E-2</v>
      </c>
      <c r="G5" s="5">
        <v>42000</v>
      </c>
      <c r="H5" s="5">
        <v>4100000</v>
      </c>
      <c r="I5" s="10">
        <v>46266</v>
      </c>
      <c r="J5" s="11">
        <v>216</v>
      </c>
      <c r="K5" s="4" t="s">
        <v>59</v>
      </c>
      <c r="L5" s="10">
        <v>45662</v>
      </c>
    </row>
    <row r="6" spans="1:12" x14ac:dyDescent="0.35">
      <c r="A6" s="4" t="s">
        <v>65</v>
      </c>
      <c r="B6" s="4" t="s">
        <v>30</v>
      </c>
      <c r="C6" s="4" t="str">
        <f>IFERROR(INDEX(Customers!$B:$B,MATCH(B6,Customers!$A:$A,0)),"")</f>
        <v>Maanasvee Khetan</v>
      </c>
      <c r="D6" s="4" t="s">
        <v>66</v>
      </c>
      <c r="E6" s="5">
        <v>1200000</v>
      </c>
      <c r="F6" s="9">
        <v>0.1</v>
      </c>
      <c r="G6" s="5">
        <v>18500</v>
      </c>
      <c r="H6" s="5">
        <v>950000</v>
      </c>
      <c r="I6" s="10">
        <v>46280</v>
      </c>
      <c r="J6" s="11">
        <v>60</v>
      </c>
      <c r="K6" s="4" t="s">
        <v>59</v>
      </c>
      <c r="L6" s="10">
        <v>45108</v>
      </c>
    </row>
    <row r="7" spans="1:12" x14ac:dyDescent="0.35">
      <c r="A7" s="4" t="s">
        <v>67</v>
      </c>
      <c r="B7" s="4" t="s">
        <v>35</v>
      </c>
      <c r="C7" s="4" t="str">
        <f>IFERROR(INDEX(Customers!$B:$B,MATCH(B7,Customers!$A:$A,0)),"")</f>
        <v>Reya Oberoi</v>
      </c>
      <c r="D7" s="4" t="s">
        <v>61</v>
      </c>
      <c r="E7" s="5">
        <v>300000</v>
      </c>
      <c r="F7" s="9">
        <v>0.14000000000000001</v>
      </c>
      <c r="G7" s="5">
        <v>10500</v>
      </c>
      <c r="H7" s="5">
        <v>45000</v>
      </c>
      <c r="I7" s="10">
        <v>46285</v>
      </c>
      <c r="J7" s="11">
        <v>5</v>
      </c>
      <c r="K7" s="4" t="s">
        <v>59</v>
      </c>
      <c r="L7" s="10">
        <v>45306</v>
      </c>
    </row>
    <row r="8" spans="1:12" x14ac:dyDescent="0.35">
      <c r="A8" s="4" t="s">
        <v>68</v>
      </c>
      <c r="B8" s="4" t="s">
        <v>41</v>
      </c>
      <c r="C8" s="4" t="str">
        <f>IFERROR(INDEX(Customers!$B:$B,MATCH(B8,Customers!$A:$A,0)),"")</f>
        <v>Mohammed Irfan</v>
      </c>
      <c r="D8" s="4" t="s">
        <v>69</v>
      </c>
      <c r="E8" s="5">
        <v>2000000</v>
      </c>
      <c r="F8" s="9">
        <v>0.115</v>
      </c>
      <c r="G8" s="5">
        <v>35000</v>
      </c>
      <c r="H8" s="5">
        <v>1750000</v>
      </c>
      <c r="I8" s="10">
        <v>46270</v>
      </c>
      <c r="J8" s="11">
        <v>54</v>
      </c>
      <c r="K8" s="4" t="s">
        <v>70</v>
      </c>
      <c r="L8" s="10">
        <v>45250</v>
      </c>
    </row>
    <row r="9" spans="1:12" x14ac:dyDescent="0.35">
      <c r="A9" s="4" t="s">
        <v>71</v>
      </c>
      <c r="B9" s="4" t="s">
        <v>41</v>
      </c>
      <c r="C9" s="4" t="str">
        <f>IFERROR(INDEX(Customers!$B:$B,MATCH(B9,Customers!$A:$A,0)),"")</f>
        <v>Mohammed Irfan</v>
      </c>
      <c r="D9" s="4" t="s">
        <v>72</v>
      </c>
      <c r="E9" s="5">
        <v>400000</v>
      </c>
      <c r="F9" s="9">
        <v>7.4999999999999997E-2</v>
      </c>
      <c r="G9" s="5">
        <v>9500</v>
      </c>
      <c r="H9" s="5">
        <v>0</v>
      </c>
      <c r="I9" s="10"/>
      <c r="J9" s="11">
        <v>0</v>
      </c>
      <c r="K9" s="4" t="s">
        <v>73</v>
      </c>
      <c r="L9" s="10">
        <v>44722</v>
      </c>
    </row>
  </sheetData>
  <autoFilter ref="A1:L9" xr:uid="{00000000-0009-0000-0000-000002000000}"/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5" customWidth="1"/>
    <col min="2" max="2" width="13" customWidth="1"/>
    <col min="3" max="3" width="20" customWidth="1"/>
    <col min="4" max="4" width="16" customWidth="1"/>
    <col min="5" max="6" width="15" customWidth="1"/>
    <col min="7" max="7" width="14" customWidth="1"/>
    <col min="8" max="8" width="11" customWidth="1"/>
    <col min="9" max="9" width="19" customWidth="1"/>
  </cols>
  <sheetData>
    <row r="1" spans="1:9" ht="30" customHeight="1" x14ac:dyDescent="0.35">
      <c r="A1" s="3" t="s">
        <v>74</v>
      </c>
      <c r="B1" s="3" t="s">
        <v>2</v>
      </c>
      <c r="C1" s="3" t="s">
        <v>47</v>
      </c>
      <c r="D1" s="3" t="s">
        <v>48</v>
      </c>
      <c r="E1" s="3" t="s">
        <v>75</v>
      </c>
      <c r="F1" s="3" t="s">
        <v>76</v>
      </c>
      <c r="G1" s="3" t="s">
        <v>77</v>
      </c>
      <c r="H1" s="3" t="s">
        <v>55</v>
      </c>
      <c r="I1" s="3" t="s">
        <v>78</v>
      </c>
    </row>
    <row r="2" spans="1:9" x14ac:dyDescent="0.35">
      <c r="A2" s="4" t="s">
        <v>79</v>
      </c>
      <c r="B2" s="4" t="s">
        <v>24</v>
      </c>
      <c r="C2" s="4" t="str">
        <f>IFERROR(INDEX(Customers!$B:$B,MATCH(B2,Customers!$A:$A,0)),"")</f>
        <v>Sanya Malik</v>
      </c>
      <c r="D2" s="4" t="s">
        <v>61</v>
      </c>
      <c r="E2" s="5">
        <v>500000</v>
      </c>
      <c r="F2" s="11"/>
      <c r="G2" s="4" t="s">
        <v>80</v>
      </c>
      <c r="H2" s="4" t="s">
        <v>81</v>
      </c>
      <c r="I2" s="12">
        <v>46249.5</v>
      </c>
    </row>
    <row r="3" spans="1:9" x14ac:dyDescent="0.35">
      <c r="A3" s="4" t="s">
        <v>82</v>
      </c>
      <c r="B3" s="4" t="s">
        <v>24</v>
      </c>
      <c r="C3" s="4" t="str">
        <f>IFERROR(INDEX(Customers!$B:$B,MATCH(B3,Customers!$A:$A,0)),"")</f>
        <v>Sanya Malik</v>
      </c>
      <c r="D3" s="4" t="s">
        <v>61</v>
      </c>
      <c r="E3" s="5">
        <v>500000</v>
      </c>
      <c r="F3" s="11"/>
      <c r="G3" s="4" t="s">
        <v>80</v>
      </c>
      <c r="H3" s="4" t="s">
        <v>81</v>
      </c>
      <c r="I3" s="12">
        <v>46249.5</v>
      </c>
    </row>
    <row r="4" spans="1:9" x14ac:dyDescent="0.35">
      <c r="A4" s="4" t="s">
        <v>83</v>
      </c>
      <c r="B4" s="4" t="s">
        <v>24</v>
      </c>
      <c r="C4" s="4" t="str">
        <f>IFERROR(INDEX(Customers!$B:$B,MATCH(B4,Customers!$A:$A,0)),"")</f>
        <v>Sanya Malik</v>
      </c>
      <c r="D4" s="4" t="s">
        <v>61</v>
      </c>
      <c r="E4" s="5">
        <v>500000</v>
      </c>
      <c r="F4" s="11"/>
      <c r="G4" s="4" t="s">
        <v>80</v>
      </c>
      <c r="H4" s="4" t="s">
        <v>81</v>
      </c>
      <c r="I4" s="12">
        <v>46249.5</v>
      </c>
    </row>
    <row r="5" spans="1:9" x14ac:dyDescent="0.35">
      <c r="A5" s="4" t="s">
        <v>84</v>
      </c>
      <c r="B5" s="4" t="s">
        <v>24</v>
      </c>
      <c r="C5" s="4" t="str">
        <f>IFERROR(INDEX(Customers!$B:$B,MATCH(B5,Customers!$A:$A,0)),"")</f>
        <v>Sanya Malik</v>
      </c>
      <c r="D5" s="4" t="s">
        <v>61</v>
      </c>
      <c r="E5" s="5">
        <v>500000</v>
      </c>
      <c r="F5" s="11"/>
      <c r="G5" s="4" t="s">
        <v>80</v>
      </c>
      <c r="H5" s="4" t="s">
        <v>81</v>
      </c>
      <c r="I5" s="12">
        <v>46249.5</v>
      </c>
    </row>
    <row r="6" spans="1:9" x14ac:dyDescent="0.35">
      <c r="A6" s="4" t="s">
        <v>85</v>
      </c>
      <c r="B6" s="4" t="s">
        <v>24</v>
      </c>
      <c r="C6" s="4" t="str">
        <f>IFERROR(INDEX(Customers!$B:$B,MATCH(B6,Customers!$A:$A,0)),"")</f>
        <v>Sanya Malik</v>
      </c>
      <c r="D6" s="4" t="s">
        <v>61</v>
      </c>
      <c r="E6" s="5">
        <v>500000</v>
      </c>
      <c r="F6" s="11"/>
      <c r="G6" s="4" t="s">
        <v>80</v>
      </c>
      <c r="H6" s="4" t="s">
        <v>81</v>
      </c>
      <c r="I6" s="12">
        <v>46249.5</v>
      </c>
    </row>
    <row r="7" spans="1:9" x14ac:dyDescent="0.35">
      <c r="A7" s="4" t="s">
        <v>86</v>
      </c>
      <c r="B7" s="4" t="s">
        <v>17</v>
      </c>
      <c r="C7" s="4" t="str">
        <f>IFERROR(INDEX(Customers!$B:$B,MATCH(B7,Customers!$A:$A,0)),"")</f>
        <v>Rajesh Kumar</v>
      </c>
      <c r="D7" s="4" t="s">
        <v>61</v>
      </c>
      <c r="E7" s="5">
        <v>500000</v>
      </c>
      <c r="F7" s="11"/>
      <c r="G7" s="4" t="s">
        <v>80</v>
      </c>
      <c r="H7" s="4" t="s">
        <v>81</v>
      </c>
      <c r="I7" s="12">
        <v>46249.5</v>
      </c>
    </row>
    <row r="8" spans="1:9" x14ac:dyDescent="0.35">
      <c r="A8" s="4" t="s">
        <v>87</v>
      </c>
      <c r="B8" s="4" t="s">
        <v>17</v>
      </c>
      <c r="C8" s="4" t="str">
        <f>IFERROR(INDEX(Customers!$B:$B,MATCH(B8,Customers!$A:$A,0)),"")</f>
        <v>Rajesh Kumar</v>
      </c>
      <c r="D8" s="4" t="s">
        <v>61</v>
      </c>
      <c r="E8" s="5">
        <v>500000</v>
      </c>
      <c r="F8" s="11"/>
      <c r="G8" s="4" t="s">
        <v>80</v>
      </c>
      <c r="H8" s="4" t="s">
        <v>81</v>
      </c>
      <c r="I8" s="12">
        <v>46249.5</v>
      </c>
    </row>
    <row r="9" spans="1:9" x14ac:dyDescent="0.35">
      <c r="A9" s="4" t="s">
        <v>88</v>
      </c>
      <c r="B9" s="4" t="s">
        <v>17</v>
      </c>
      <c r="C9" s="4" t="str">
        <f>IFERROR(INDEX(Customers!$B:$B,MATCH(B9,Customers!$A:$A,0)),"")</f>
        <v>Rajesh Kumar</v>
      </c>
      <c r="D9" s="4" t="s">
        <v>61</v>
      </c>
      <c r="E9" s="5">
        <v>500000</v>
      </c>
      <c r="F9" s="11"/>
      <c r="G9" s="4" t="s">
        <v>80</v>
      </c>
      <c r="H9" s="4" t="s">
        <v>81</v>
      </c>
      <c r="I9" s="12">
        <v>46249.5</v>
      </c>
    </row>
    <row r="10" spans="1:9" x14ac:dyDescent="0.35">
      <c r="A10" s="4" t="s">
        <v>89</v>
      </c>
      <c r="B10" s="4" t="s">
        <v>17</v>
      </c>
      <c r="C10" s="4" t="str">
        <f>IFERROR(INDEX(Customers!$B:$B,MATCH(B10,Customers!$A:$A,0)),"")</f>
        <v>Rajesh Kumar</v>
      </c>
      <c r="D10" s="4" t="s">
        <v>61</v>
      </c>
      <c r="E10" s="5">
        <v>500000</v>
      </c>
      <c r="F10" s="11">
        <v>36</v>
      </c>
      <c r="G10" s="4" t="s">
        <v>80</v>
      </c>
      <c r="H10" s="4" t="s">
        <v>81</v>
      </c>
      <c r="I10" s="12">
        <v>46249.5</v>
      </c>
    </row>
    <row r="11" spans="1:9" x14ac:dyDescent="0.35">
      <c r="A11" s="4" t="s">
        <v>90</v>
      </c>
      <c r="B11" s="4" t="s">
        <v>17</v>
      </c>
      <c r="C11" s="4" t="str">
        <f>IFERROR(INDEX(Customers!$B:$B,MATCH(B11,Customers!$A:$A,0)),"")</f>
        <v>Rajesh Kumar</v>
      </c>
      <c r="D11" s="4" t="s">
        <v>61</v>
      </c>
      <c r="E11" s="5">
        <v>500000</v>
      </c>
      <c r="F11" s="11">
        <v>36</v>
      </c>
      <c r="G11" s="4" t="s">
        <v>80</v>
      </c>
      <c r="H11" s="4" t="s">
        <v>81</v>
      </c>
      <c r="I11" s="12">
        <v>46249.5</v>
      </c>
    </row>
    <row r="12" spans="1:9" x14ac:dyDescent="0.35">
      <c r="A12" s="4" t="s">
        <v>91</v>
      </c>
      <c r="B12" s="4" t="s">
        <v>24</v>
      </c>
      <c r="C12" s="4" t="str">
        <f>IFERROR(INDEX(Customers!$B:$B,MATCH(B12,Customers!$A:$A,0)),"")</f>
        <v>Sanya Malik</v>
      </c>
      <c r="D12" s="4" t="s">
        <v>61</v>
      </c>
      <c r="E12" s="5">
        <v>500000</v>
      </c>
      <c r="F12" s="11"/>
      <c r="G12" s="4" t="s">
        <v>80</v>
      </c>
      <c r="H12" s="4" t="s">
        <v>81</v>
      </c>
      <c r="I12" s="12">
        <v>46249.5</v>
      </c>
    </row>
    <row r="13" spans="1:9" x14ac:dyDescent="0.35">
      <c r="A13" s="4" t="s">
        <v>92</v>
      </c>
      <c r="B13" s="4" t="s">
        <v>24</v>
      </c>
      <c r="C13" s="4" t="str">
        <f>IFERROR(INDEX(Customers!$B:$B,MATCH(B13,Customers!$A:$A,0)),"")</f>
        <v>Sanya Malik</v>
      </c>
      <c r="D13" s="4" t="s">
        <v>61</v>
      </c>
      <c r="E13" s="5">
        <v>500000</v>
      </c>
      <c r="F13" s="11"/>
      <c r="G13" s="4" t="s">
        <v>80</v>
      </c>
      <c r="H13" s="4" t="s">
        <v>81</v>
      </c>
      <c r="I13" s="12">
        <v>46249.5</v>
      </c>
    </row>
    <row r="15" spans="1:9" x14ac:dyDescent="0.35">
      <c r="A15" s="2" t="s">
        <v>93</v>
      </c>
    </row>
  </sheetData>
  <autoFilter ref="A1:I13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Customers</vt:lpstr>
      <vt:lpstr>Loans</vt:lpstr>
      <vt:lpstr>Loan Applications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Sanya Malik</cp:lastModifiedBy>
  <dcterms:created xsi:type="dcterms:W3CDTF">2026-10-20T07:19:37Z</dcterms:created>
  <dcterms:modified xsi:type="dcterms:W3CDTF">2026-10-20T07:19:51Z</dcterms:modified>
</cp:coreProperties>
</file>